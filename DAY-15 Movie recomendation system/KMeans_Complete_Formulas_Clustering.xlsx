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63F5348-B628-440B-BF33-16844A40F30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Means_Complete_Formulas_Clu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I11" i="1" s="1"/>
  <c r="E11" i="1"/>
  <c r="D11" i="1"/>
  <c r="F11" i="1" s="1"/>
  <c r="H10" i="1"/>
  <c r="G10" i="1"/>
  <c r="I10" i="1" s="1"/>
  <c r="E10" i="1"/>
  <c r="F10" i="1" s="1"/>
  <c r="D10" i="1"/>
  <c r="H9" i="1"/>
  <c r="G9" i="1"/>
  <c r="I9" i="1" s="1"/>
  <c r="E9" i="1"/>
  <c r="F9" i="1" s="1"/>
  <c r="D9" i="1"/>
  <c r="H8" i="1"/>
  <c r="G8" i="1"/>
  <c r="I8" i="1" s="1"/>
  <c r="E8" i="1"/>
  <c r="D8" i="1"/>
  <c r="F8" i="1" s="1"/>
  <c r="I7" i="1"/>
  <c r="H7" i="1"/>
  <c r="G7" i="1"/>
  <c r="E7" i="1"/>
  <c r="D7" i="1"/>
  <c r="F7" i="1" s="1"/>
  <c r="H6" i="1"/>
  <c r="G6" i="1"/>
  <c r="I6" i="1" s="1"/>
  <c r="E6" i="1"/>
  <c r="D6" i="1"/>
  <c r="F6" i="1" s="1"/>
  <c r="H5" i="1"/>
  <c r="G5" i="1"/>
  <c r="I5" i="1" s="1"/>
  <c r="E5" i="1"/>
  <c r="F5" i="1" s="1"/>
  <c r="D5" i="1"/>
  <c r="H4" i="1"/>
  <c r="G4" i="1"/>
  <c r="I4" i="1" s="1"/>
  <c r="E4" i="1"/>
  <c r="D4" i="1"/>
  <c r="F4" i="1" s="1"/>
  <c r="I3" i="1"/>
  <c r="H3" i="1"/>
  <c r="G3" i="1"/>
  <c r="E3" i="1"/>
  <c r="D3" i="1"/>
  <c r="F3" i="1" s="1"/>
  <c r="H2" i="1"/>
  <c r="G2" i="1"/>
  <c r="I2" i="1" s="1"/>
  <c r="E2" i="1"/>
  <c r="D2" i="1"/>
  <c r="F2" i="1" s="1"/>
  <c r="D19" i="1" l="1"/>
  <c r="C19" i="1"/>
  <c r="D18" i="1"/>
  <c r="C18" i="1"/>
</calcChain>
</file>

<file path=xl/sharedStrings.xml><?xml version="1.0" encoding="utf-8"?>
<sst xmlns="http://schemas.openxmlformats.org/spreadsheetml/2006/main" count="29" uniqueCount="27">
  <si>
    <t>Customer_ID</t>
  </si>
  <si>
    <t>Distance_to_Final_C1(9960_6.2)</t>
  </si>
  <si>
    <t>Distance_to_Final_C2(2200_2.6)</t>
  </si>
  <si>
    <t>Final_Cluster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</si>
  <si>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</si>
  <si>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</si>
  <si>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</si>
  <si>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</si>
  <si>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</si>
  <si>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</si>
  <si>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</si>
  <si>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</si>
  <si>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</si>
  <si>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</si>
  <si>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Initial Centroids</t>
  </si>
  <si>
    <t>Spending</t>
  </si>
  <si>
    <t>Visits</t>
  </si>
  <si>
    <t>C1</t>
  </si>
  <si>
    <t>C2</t>
  </si>
  <si>
    <t>Final Centroids (Updated Means)</t>
  </si>
  <si>
    <t>C1 (Mean of Cluster 1)</t>
  </si>
  <si>
    <t>C2 (Mean of Cluster 2)</t>
  </si>
  <si>
    <t>Distance to C1</t>
  </si>
  <si>
    <t>Distance to C2</t>
  </si>
  <si>
    <t>Monthly Spending(</t>
  </si>
  <si>
    <t>visits/month</t>
  </si>
  <si>
    <t>cluster assign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</si>
</sst>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"/>
  <sheetViews>
    <sheetView tabSelected="1" workbookViewId="0">
      <selection activeCell="G1" sqref="G1"/>
    </sheetView>
  </sheetViews>
  <sheetFormatPr defaultColWidth="12.6640625" defaultRowHeight="15.75" customHeight="1" x14ac:dyDescent="0.25"/>
  <cols>
    <col min="1" max="1" width="28.109375" bestFit="1" customWidth="1"/>
    <col min="2" max="2" width="20.44140625" bestFit="1" customWidth="1"/>
    <col min="3" max="3" width="15.21875" bestFit="1" customWidth="1"/>
    <col min="4" max="5" width="13.109375" bestFit="1" customWidth="1"/>
    <col min="6" max="6" width="20" bestFit="1" customWidth="1"/>
    <col min="7" max="8" width="28.109375" bestFit="1" customWidth="1"/>
    <col min="9" max="9" width="19.77734375" bestFit="1" customWidth="1"/>
  </cols>
  <sheetData>
    <row r="1" spans="1:9" x14ac:dyDescent="0.25">
      <c r="A1" s="2" t="s">
        <v>0</v>
      </c>
      <c r="B1" s="2" t="s">
        <v>24</v>
      </c>
      <c r="C1" s="2" t="s">
        <v>25</v>
      </c>
      <c r="D1" s="2" t="s">
        <v>22</v>
      </c>
      <c r="E1" s="2" t="s">
        <v>23</v>
      </c>
      <c r="F1" s="2" t="s">
        <v>26</v>
      </c>
      <c r="G1" s="2" t="s">
        <v>1</v>
      </c>
      <c r="H1" s="2" t="s">
        <v>2</v>
      </c>
      <c r="I1" s="2" t="s">
        <v>3</v>
      </c>
    </row>
    <row r="2" spans="1:9" x14ac:dyDescent="0.25">
      <c r="A2" s="1" t="s">
        <v>4</v>
      </c>
      <c r="B2" s="1">
        <v>9500</v>
      </c>
      <c r="C2" s="1">
        <v>6</v>
      </c>
      <c r="D2" s="1">
        <f t="shared" ref="D2:D11" si="0">SQRT((B2-10000)^2+(C2-5)^2)</f>
        <v>500.00099999899999</v>
      </c>
      <c r="E2" s="1">
        <f t="shared" ref="E2:E11" si="1">SQRT((B2-2000)^2+(C2-2)^2)</f>
        <v>7500.0010666665912</v>
      </c>
      <c r="F2" s="1" t="str">
        <f t="shared" ref="F2:F11" si="2">IF(D2&lt;E2,"Cluster 1","Cluster 2")</f>
        <v>Cluster 1</v>
      </c>
      <c r="G2" s="1">
        <f t="shared" ref="G2:G4" si="3">SQRT((B2-9960)^2+(C2-6.2)^2)</f>
        <v>460.00004347825882</v>
      </c>
      <c r="H2" s="1">
        <f t="shared" ref="H2:H11" si="4">SQRT((B2-2200)^2+(C2-2.6)^2)</f>
        <v>7300.0007917807789</v>
      </c>
      <c r="I2" s="1" t="str">
        <f t="shared" ref="I2:I11" si="5">IF(G2&lt;H2,"Cluster 1 (High Spend)","Cluster 2 (Low Spend)")</f>
        <v>Cluster 1 (High Spend)</v>
      </c>
    </row>
    <row r="3" spans="1:9" x14ac:dyDescent="0.25">
      <c r="A3" s="1" t="s">
        <v>5</v>
      </c>
      <c r="B3" s="1">
        <v>2200</v>
      </c>
      <c r="C3" s="1">
        <v>3</v>
      </c>
      <c r="D3" s="1">
        <f t="shared" si="0"/>
        <v>7800.0002564102524</v>
      </c>
      <c r="E3" s="1">
        <f t="shared" si="1"/>
        <v>200.00249998437519</v>
      </c>
      <c r="F3" s="1" t="str">
        <f t="shared" si="2"/>
        <v>Cluster 2</v>
      </c>
      <c r="G3" s="1">
        <f t="shared" si="3"/>
        <v>7760.0006597937863</v>
      </c>
      <c r="H3" s="1">
        <f t="shared" si="4"/>
        <v>0.39999999999999991</v>
      </c>
      <c r="I3" s="1" t="str">
        <f t="shared" si="5"/>
        <v>Cluster 2 (Low Spend)</v>
      </c>
    </row>
    <row r="4" spans="1:9" x14ac:dyDescent="0.25">
      <c r="A4" s="1" t="s">
        <v>6</v>
      </c>
      <c r="B4" s="1">
        <v>8800</v>
      </c>
      <c r="C4" s="1">
        <v>5</v>
      </c>
      <c r="D4" s="1">
        <f t="shared" si="0"/>
        <v>1200</v>
      </c>
      <c r="E4" s="1">
        <f t="shared" si="1"/>
        <v>6800.0006617646741</v>
      </c>
      <c r="F4" s="1" t="str">
        <f t="shared" si="2"/>
        <v>Cluster 1</v>
      </c>
      <c r="G4" s="1">
        <f t="shared" si="3"/>
        <v>1160.0006206894891</v>
      </c>
      <c r="H4" s="1">
        <f t="shared" si="4"/>
        <v>6600.0004363636217</v>
      </c>
      <c r="I4" s="1" t="str">
        <f t="shared" si="5"/>
        <v>Cluster 1 (High Spend)</v>
      </c>
    </row>
    <row r="5" spans="1:9" x14ac:dyDescent="0.25">
      <c r="A5" s="1" t="s">
        <v>7</v>
      </c>
      <c r="B5" s="1">
        <v>1500</v>
      </c>
      <c r="C5" s="1">
        <v>2</v>
      </c>
      <c r="D5" s="1">
        <f t="shared" si="0"/>
        <v>8500.0005294117491</v>
      </c>
      <c r="E5" s="1">
        <f t="shared" si="1"/>
        <v>500</v>
      </c>
      <c r="F5" s="1" t="str">
        <f t="shared" si="2"/>
        <v>Cluster 2</v>
      </c>
      <c r="G5" s="1">
        <f>SQRT((B5-9960)^2+(C6-6.2)^2)</f>
        <v>8460.0000378250588</v>
      </c>
      <c r="H5" s="1">
        <f t="shared" si="4"/>
        <v>700.00025714280991</v>
      </c>
      <c r="I5" s="1" t="str">
        <f t="shared" si="5"/>
        <v>Cluster 2 (Low Spend)</v>
      </c>
    </row>
    <row r="6" spans="1:9" x14ac:dyDescent="0.25">
      <c r="A6" s="1" t="s">
        <v>8</v>
      </c>
      <c r="B6" s="1">
        <v>10500</v>
      </c>
      <c r="C6" s="1">
        <v>7</v>
      </c>
      <c r="D6" s="1">
        <f t="shared" si="0"/>
        <v>500.00399998400013</v>
      </c>
      <c r="E6" s="1">
        <f t="shared" si="1"/>
        <v>8500.0014705881076</v>
      </c>
      <c r="F6" s="1" t="str">
        <f t="shared" si="2"/>
        <v>Cluster 1</v>
      </c>
      <c r="G6" s="1">
        <f t="shared" ref="G6:G11" si="6">SQRT((B6-9960)^2+(C6-6.2)^2)</f>
        <v>540.00059259226748</v>
      </c>
      <c r="H6" s="1">
        <f t="shared" si="4"/>
        <v>8300.0011662649777</v>
      </c>
      <c r="I6" s="1" t="str">
        <f t="shared" si="5"/>
        <v>Cluster 1 (High Spend)</v>
      </c>
    </row>
    <row r="7" spans="1:9" x14ac:dyDescent="0.25">
      <c r="A7" s="1" t="s">
        <v>9</v>
      </c>
      <c r="B7" s="1">
        <v>3000</v>
      </c>
      <c r="C7" s="1">
        <v>3</v>
      </c>
      <c r="D7" s="1">
        <f t="shared" si="0"/>
        <v>7000.0002857142799</v>
      </c>
      <c r="E7" s="1">
        <f t="shared" si="1"/>
        <v>1000.000499999875</v>
      </c>
      <c r="F7" s="1" t="str">
        <f t="shared" si="2"/>
        <v>Cluster 2</v>
      </c>
      <c r="G7" s="1">
        <f t="shared" si="6"/>
        <v>6960.0007356321448</v>
      </c>
      <c r="H7" s="1">
        <f t="shared" si="4"/>
        <v>800.00009999999372</v>
      </c>
      <c r="I7" s="1" t="str">
        <f t="shared" si="5"/>
        <v>Cluster 2 (Low Spend)</v>
      </c>
    </row>
    <row r="8" spans="1:9" x14ac:dyDescent="0.25">
      <c r="A8" s="1" t="s">
        <v>10</v>
      </c>
      <c r="B8" s="1">
        <v>12000</v>
      </c>
      <c r="C8" s="1">
        <v>8</v>
      </c>
      <c r="D8" s="1">
        <f t="shared" si="0"/>
        <v>2000.0022499987344</v>
      </c>
      <c r="E8" s="1">
        <f t="shared" si="1"/>
        <v>10000.001799999838</v>
      </c>
      <c r="F8" s="1" t="str">
        <f t="shared" si="2"/>
        <v>Cluster 1</v>
      </c>
      <c r="G8" s="1">
        <f t="shared" si="6"/>
        <v>2040.0007941174927</v>
      </c>
      <c r="H8" s="1">
        <f t="shared" si="4"/>
        <v>9800.0014877549893</v>
      </c>
      <c r="I8" s="1" t="str">
        <f t="shared" si="5"/>
        <v>Cluster 1 (High Spend)</v>
      </c>
    </row>
    <row r="9" spans="1:9" x14ac:dyDescent="0.25">
      <c r="A9" s="1" t="s">
        <v>11</v>
      </c>
      <c r="B9" s="1">
        <v>1800</v>
      </c>
      <c r="C9" s="1">
        <v>1</v>
      </c>
      <c r="D9" s="1">
        <f t="shared" si="0"/>
        <v>8200.0009756096988</v>
      </c>
      <c r="E9" s="1">
        <f t="shared" si="1"/>
        <v>200.00249998437519</v>
      </c>
      <c r="F9" s="1" t="str">
        <f t="shared" si="2"/>
        <v>Cluster 2</v>
      </c>
      <c r="G9" s="1">
        <f t="shared" si="6"/>
        <v>8160.001656862577</v>
      </c>
      <c r="H9" s="1">
        <f t="shared" si="4"/>
        <v>400.00319998720011</v>
      </c>
      <c r="I9" s="1" t="str">
        <f t="shared" si="5"/>
        <v>Cluster 2 (Low Spend)</v>
      </c>
    </row>
    <row r="10" spans="1:9" x14ac:dyDescent="0.25">
      <c r="A10" s="1" t="s">
        <v>12</v>
      </c>
      <c r="B10" s="1">
        <v>9000</v>
      </c>
      <c r="C10" s="1">
        <v>5</v>
      </c>
      <c r="D10" s="1">
        <f t="shared" si="0"/>
        <v>1000</v>
      </c>
      <c r="E10" s="1">
        <f t="shared" si="1"/>
        <v>7000.0006428571132</v>
      </c>
      <c r="F10" s="1" t="str">
        <f t="shared" si="2"/>
        <v>Cluster 1</v>
      </c>
      <c r="G10" s="1">
        <f t="shared" si="6"/>
        <v>960.00074999970695</v>
      </c>
      <c r="H10" s="1">
        <f t="shared" si="4"/>
        <v>6800.0004235293982</v>
      </c>
      <c r="I10" s="1" t="str">
        <f t="shared" si="5"/>
        <v>Cluster 1 (High Spend)</v>
      </c>
    </row>
    <row r="11" spans="1:9" x14ac:dyDescent="0.25">
      <c r="A11" s="1" t="s">
        <v>13</v>
      </c>
      <c r="B11" s="1">
        <v>2500</v>
      </c>
      <c r="C11" s="1">
        <v>4</v>
      </c>
      <c r="D11" s="1">
        <f t="shared" si="0"/>
        <v>7500.0000666666665</v>
      </c>
      <c r="E11" s="1">
        <f t="shared" si="1"/>
        <v>500.00399998400013</v>
      </c>
      <c r="F11" s="1" t="str">
        <f t="shared" si="2"/>
        <v>Cluster 2</v>
      </c>
      <c r="G11" s="1">
        <f t="shared" si="6"/>
        <v>7460.0003243967758</v>
      </c>
      <c r="H11" s="1">
        <f t="shared" si="4"/>
        <v>300.00326664888166</v>
      </c>
      <c r="I11" s="1" t="str">
        <f t="shared" si="5"/>
        <v>Cluster 2 (Low Spend)</v>
      </c>
    </row>
    <row r="13" spans="1:9" x14ac:dyDescent="0.25">
      <c r="A13" s="2" t="s">
        <v>14</v>
      </c>
      <c r="B13" s="3"/>
      <c r="C13" s="2" t="s">
        <v>15</v>
      </c>
      <c r="D13" s="2" t="s">
        <v>16</v>
      </c>
    </row>
    <row r="14" spans="1:9" x14ac:dyDescent="0.25">
      <c r="A14" s="1" t="s">
        <v>17</v>
      </c>
      <c r="C14" s="1">
        <v>10000</v>
      </c>
      <c r="D14" s="1">
        <v>5</v>
      </c>
    </row>
    <row r="15" spans="1:9" x14ac:dyDescent="0.25">
      <c r="A15" s="1" t="s">
        <v>18</v>
      </c>
      <c r="C15" s="1">
        <v>2000</v>
      </c>
      <c r="D15" s="1">
        <v>2</v>
      </c>
    </row>
    <row r="17" spans="1:4" x14ac:dyDescent="0.25">
      <c r="A17" s="2" t="s">
        <v>19</v>
      </c>
      <c r="B17" s="3"/>
      <c r="C17" s="2" t="s">
        <v>15</v>
      </c>
      <c r="D17" s="2" t="s">
        <v>16</v>
      </c>
    </row>
    <row r="18" spans="1:4" x14ac:dyDescent="0.25">
      <c r="A18" s="1" t="s">
        <v>20</v>
      </c>
      <c r="C18" s="1">
        <f>AVERAGEIF(F$2:F$11,"Cluster 1",B$2:B$11)</f>
        <v>9960</v>
      </c>
      <c r="D18" s="1">
        <f>AVERAGEIF(F$2:F$11,"Cluster 1",C$2:C$11)</f>
        <v>6.2</v>
      </c>
    </row>
    <row r="19" spans="1:4" x14ac:dyDescent="0.25">
      <c r="A19" s="1" t="s">
        <v>21</v>
      </c>
      <c r="C19" s="1">
        <f>AVERAGEIF(F$2:F$11,"Cluster 2",B$2:B$11)</f>
        <v>2200</v>
      </c>
      <c r="D19" s="1">
        <f>AVERAGEIF(F$2:F$11,"Cluster 2",C$2:C$11)</f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KMeans_Complete_Formulas_Cluste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anjalivishwakarma159@outlook.com</cp:lastModifiedBy>
  <dcterms:modified xsi:type="dcterms:W3CDTF">2026-07-17T10:57:43Z</dcterms:modified>
</cp:coreProperties>
</file>